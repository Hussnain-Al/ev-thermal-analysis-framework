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oling System Design SUV\Cooling System Documentation\"/>
    </mc:Choice>
  </mc:AlternateContent>
  <xr:revisionPtr revIDLastSave="0" documentId="8_{6E181B0B-1DD9-41AB-BB5B-E36BE9F651C6}" xr6:coauthVersionLast="47" xr6:coauthVersionMax="47" xr10:uidLastSave="{00000000-0000-0000-0000-000000000000}"/>
  <bookViews>
    <workbookView xWindow="-120" yWindow="-120" windowWidth="24240" windowHeight="13140" xr2:uid="{785BBBF4-61CE-41A5-AF2D-1475F5B6BAC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B9" i="1"/>
  <c r="B5" i="1"/>
  <c r="B4" i="1"/>
  <c r="B14" i="1"/>
  <c r="G3" i="1"/>
  <c r="G7" i="1"/>
  <c r="G11" i="1"/>
  <c r="G14" i="1"/>
  <c r="G17" i="1"/>
  <c r="G18" i="1"/>
</calcChain>
</file>

<file path=xl/sharedStrings.xml><?xml version="1.0" encoding="utf-8"?>
<sst xmlns="http://schemas.openxmlformats.org/spreadsheetml/2006/main" count="81" uniqueCount="48">
  <si>
    <t>Others</t>
  </si>
  <si>
    <t>Surface</t>
  </si>
  <si>
    <t>Area m2</t>
  </si>
  <si>
    <t>U</t>
  </si>
  <si>
    <t>Shad eCoeffiecnt</t>
  </si>
  <si>
    <t>East</t>
  </si>
  <si>
    <t>Side Panel</t>
  </si>
  <si>
    <t>Side Windows</t>
  </si>
  <si>
    <t>Door</t>
  </si>
  <si>
    <t>West</t>
  </si>
  <si>
    <t>South</t>
  </si>
  <si>
    <t>Rear Body</t>
  </si>
  <si>
    <t>Rear Window</t>
  </si>
  <si>
    <t>North</t>
  </si>
  <si>
    <t>Front Body</t>
  </si>
  <si>
    <t>Roof</t>
  </si>
  <si>
    <t>Floor</t>
  </si>
  <si>
    <t>Front Window</t>
  </si>
  <si>
    <t>CLTD</t>
  </si>
  <si>
    <t>CLTD values taken at 24 latitude according Karachi.</t>
  </si>
  <si>
    <t>Considering peak temperature values at 3pm</t>
  </si>
  <si>
    <t>_</t>
  </si>
  <si>
    <t>SCL</t>
  </si>
  <si>
    <t>Q</t>
  </si>
  <si>
    <t>Q=A.SC.SCL</t>
  </si>
  <si>
    <t>Q=U.A.CLTD</t>
  </si>
  <si>
    <t>CLTD= (CLTDi+LM).K+(78-ti)+(tm-85)</t>
  </si>
  <si>
    <t>CLTDI</t>
  </si>
  <si>
    <t>LM</t>
  </si>
  <si>
    <t>ti=23 C</t>
  </si>
  <si>
    <t>tm=38.1 C</t>
  </si>
  <si>
    <t>Total</t>
  </si>
  <si>
    <t>Qt=Q_latent+Q_sensible</t>
  </si>
  <si>
    <t>Qsensible=3335.94 W</t>
  </si>
  <si>
    <t>Q_metabolic=MA</t>
  </si>
  <si>
    <t>A=0.202*W^0.425*H^0.725</t>
  </si>
  <si>
    <t>A=2.05 m2</t>
  </si>
  <si>
    <t>M=58 Wm2</t>
  </si>
  <si>
    <t>Q_metabolic=594.21 W</t>
  </si>
  <si>
    <t>Q_infiltration=mo*Cp*(To-Ti)</t>
  </si>
  <si>
    <t>Q_infiltration=226.125 W</t>
  </si>
  <si>
    <t>Q_infiltration=mo*BFP*Cp*(To-Ti)</t>
  </si>
  <si>
    <t xml:space="preserve">                              =15*1.005*15</t>
  </si>
  <si>
    <t xml:space="preserve">                                =15*</t>
  </si>
  <si>
    <t>Q_ventilation=mvent*(1-BFP)*Cp*(To-Ti)</t>
  </si>
  <si>
    <t>Qsensible=Q_metabolic+Q_infiltration+Q_ventilation</t>
  </si>
  <si>
    <t>Qsensible=Q_metabolic+Q_infiltration+Q_by-pass</t>
  </si>
  <si>
    <t>Q_by-pass=mo*BFP*Cp*(To-Ti)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</si>
</sst>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139701</xdr:colOff>
      <xdr:row>0</xdr:row>
      <xdr:rowOff>88900</xdr:rowOff>
    </xdr:from>
    <xdr:ext cx="3416300" cy="2159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2A1E-82D9-066D-0FC3-8CC80E38FC58}"/>
            </a:ext>
          </a:extLst>
        </xdr:cNvPr>
        <xdr:cNvSpPr txBox="1"/>
      </xdr:nvSpPr>
      <xdr:spPr>
        <a:xfrm>
          <a:off x="10477501" y="88900"/>
          <a:ext cx="3416300" cy="21590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The following assumptions has been considered for the calculations:</a:t>
          </a:r>
        </a:p>
        <a:p>
          <a:endParaRPr lang="en-US" sz="1100"/>
        </a:p>
        <a:p>
          <a:r>
            <a:rPr lang="en-US" sz="1100"/>
            <a:t>The air conditioning system in the E-bus is fully operated throughout the day.</a:t>
          </a:r>
        </a:p>
        <a:p>
          <a:endParaRPr lang="en-US" sz="1100"/>
        </a:p>
        <a:p>
          <a:r>
            <a:rPr lang="en-US" sz="1100"/>
            <a:t>The cabin temperature is maintained at 250 C.</a:t>
          </a:r>
        </a:p>
        <a:p>
          <a:endParaRPr lang="en-US" sz="1100"/>
        </a:p>
        <a:p>
          <a:r>
            <a:rPr lang="en-US" sz="1100"/>
            <a:t>Relative humidity maintained inside the bus is 50%.</a:t>
          </a:r>
        </a:p>
        <a:p>
          <a:endParaRPr lang="en-US" sz="1100"/>
        </a:p>
        <a:p>
          <a:r>
            <a:rPr lang="en-US" sz="1100"/>
            <a:t>During winter air conditioning system acts like warm air blower.</a:t>
          </a:r>
          <a:endParaRPr lang="en-PK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CEA76D-FDA0-47C4-983A-5A2140E8D423}" name="Table2" displayName="Table2" ref="A1:I19" totalsRowShown="0">
  <autoFilter ref="A1:I19" xr:uid="{5ACEA76D-FDA0-47C4-983A-5A2140E8D423}"/>
  <tableColumns count="9">
    <tableColumn id="1" xr3:uid="{D4B70D97-757A-4995-BAFF-6BE1923F2D02}" name="Surface"/>
    <tableColumn id="2" xr3:uid="{B5432583-FD3F-4A6C-9DB6-454432742E75}" name="Area m2"/>
    <tableColumn id="3" xr3:uid="{AB5687DB-233E-4BEC-9059-A81D169BC433}" name="U" dataDxfId="5"/>
    <tableColumn id="4" xr3:uid="{78F5F59A-EB9F-470E-9DF1-EBDB56BF6EF6}" name="Shad eCoeffiecnt" dataDxfId="4"/>
    <tableColumn id="6" xr3:uid="{8AD85102-5D69-41B1-B8AB-923FB7FE0492}" name="SCL" dataDxfId="3"/>
    <tableColumn id="9" xr3:uid="{BCB77F95-D459-4E44-8F13-0B56086DA968}" name="LM" dataDxfId="2"/>
    <tableColumn id="8" xr3:uid="{03E37DB3-3134-4498-A93D-DB0A729EB948}" name="CLTD" dataDxfId="1"/>
    <tableColumn id="5" xr3:uid="{0E4D5E63-D227-4781-A261-7FABE23F9A62}" name="CLTDI" dataDxfId="0"/>
    <tableColumn id="7" xr3:uid="{FB394997-4E2B-4F0C-BF48-87204F413D70}" name="Q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632B-C578-45C3-A249-110D76F477FD}">
  <dimension ref="A1:M42"/>
  <sheetViews>
    <sheetView tabSelected="1" zoomScale="118" zoomScaleNormal="118" workbookViewId="0">
      <selection activeCell="L15" sqref="L15"/>
    </sheetView>
  </sheetViews>
  <sheetFormatPr defaultRowHeight="15" x14ac:dyDescent="0.25"/>
  <cols>
    <col min="1" max="1" width="14.7109375" customWidth="1"/>
    <col min="2" max="2" width="10.42578125" customWidth="1"/>
    <col min="4" max="4" width="18.28515625" customWidth="1"/>
    <col min="5" max="5" width="11" customWidth="1"/>
    <col min="16" max="16" width="16.7109375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22</v>
      </c>
      <c r="F1" t="s">
        <v>28</v>
      </c>
      <c r="G1" t="s">
        <v>18</v>
      </c>
      <c r="H1" t="s">
        <v>27</v>
      </c>
      <c r="I1" t="s">
        <v>23</v>
      </c>
    </row>
    <row r="2" spans="1:11" x14ac:dyDescent="0.25">
      <c r="A2" s="2" t="s">
        <v>5</v>
      </c>
      <c r="B2" s="2"/>
      <c r="C2" s="8"/>
      <c r="D2" s="8"/>
      <c r="E2" s="8"/>
      <c r="F2" s="8"/>
      <c r="G2" s="8"/>
      <c r="H2" s="8"/>
      <c r="I2" s="2"/>
      <c r="K2" t="s">
        <v>19</v>
      </c>
    </row>
    <row r="3" spans="1:11" x14ac:dyDescent="0.25">
      <c r="A3" s="2" t="s">
        <v>6</v>
      </c>
      <c r="B3" s="2">
        <v>1.1200000000000001</v>
      </c>
      <c r="C3" s="8">
        <v>2.8010000000000002</v>
      </c>
      <c r="D3" s="8" t="s">
        <v>21</v>
      </c>
      <c r="E3" s="8" t="s">
        <v>21</v>
      </c>
      <c r="F3" s="8"/>
      <c r="G3" s="8">
        <f>Table2[[#This Row],[CLTDI]]+(78-23)+(38-85)</f>
        <v>43</v>
      </c>
      <c r="H3" s="8">
        <v>35</v>
      </c>
      <c r="I3" s="2">
        <v>134.88999999999999</v>
      </c>
      <c r="K3" t="s">
        <v>20</v>
      </c>
    </row>
    <row r="4" spans="1:11" x14ac:dyDescent="0.25">
      <c r="A4" s="2" t="s">
        <v>7</v>
      </c>
      <c r="B4" s="2">
        <f>0.35+0.38</f>
        <v>0.73</v>
      </c>
      <c r="C4" s="8">
        <v>2.569</v>
      </c>
      <c r="D4" s="8">
        <v>0.81100000000000005</v>
      </c>
      <c r="E4" s="8">
        <v>52</v>
      </c>
      <c r="F4" s="8" t="s">
        <v>21</v>
      </c>
      <c r="G4" s="8" t="s">
        <v>21</v>
      </c>
      <c r="H4" s="8" t="s">
        <v>21</v>
      </c>
      <c r="I4" s="2">
        <v>97.51</v>
      </c>
      <c r="K4" t="s">
        <v>29</v>
      </c>
    </row>
    <row r="5" spans="1:11" x14ac:dyDescent="0.25">
      <c r="A5" s="2" t="s">
        <v>8</v>
      </c>
      <c r="B5" s="2">
        <f>0.75+0.95</f>
        <v>1.7</v>
      </c>
      <c r="C5" s="8">
        <v>4.8899999999999997</v>
      </c>
      <c r="D5" s="8">
        <v>0.81100000000000005</v>
      </c>
      <c r="E5" s="8">
        <v>52</v>
      </c>
      <c r="F5" s="8" t="s">
        <v>21</v>
      </c>
      <c r="G5" s="8" t="s">
        <v>21</v>
      </c>
      <c r="H5" s="8" t="s">
        <v>21</v>
      </c>
      <c r="I5" s="2">
        <v>432.27</v>
      </c>
      <c r="K5" t="s">
        <v>30</v>
      </c>
    </row>
    <row r="6" spans="1:11" x14ac:dyDescent="0.25">
      <c r="A6" s="3" t="s">
        <v>9</v>
      </c>
      <c r="B6" s="3"/>
      <c r="C6" s="9"/>
      <c r="D6" s="9"/>
      <c r="E6" s="9"/>
      <c r="F6" s="9"/>
      <c r="G6" s="9"/>
      <c r="H6" s="9"/>
      <c r="I6" s="3"/>
    </row>
    <row r="7" spans="1:11" x14ac:dyDescent="0.25">
      <c r="A7" s="3" t="s">
        <v>6</v>
      </c>
      <c r="B7" s="3">
        <v>1.1200000000000001</v>
      </c>
      <c r="C7" s="9">
        <v>2.8010000000000002</v>
      </c>
      <c r="D7" s="9" t="s">
        <v>21</v>
      </c>
      <c r="E7" s="9" t="s">
        <v>21</v>
      </c>
      <c r="F7" s="9"/>
      <c r="G7" s="9">
        <f>Table2[[#This Row],[CLTDI]]+(78-23)+(38-85)</f>
        <v>28</v>
      </c>
      <c r="H7" s="9">
        <v>20</v>
      </c>
      <c r="I7" s="3">
        <v>134.88999999999999</v>
      </c>
    </row>
    <row r="8" spans="1:11" x14ac:dyDescent="0.25">
      <c r="A8" s="3" t="s">
        <v>7</v>
      </c>
      <c r="B8" s="3">
        <v>0.73</v>
      </c>
      <c r="C8" s="9">
        <v>2.569</v>
      </c>
      <c r="D8" s="9">
        <v>0.81100000000000005</v>
      </c>
      <c r="E8" s="9">
        <v>112</v>
      </c>
      <c r="F8" s="9" t="s">
        <v>21</v>
      </c>
      <c r="G8" s="9" t="s">
        <v>21</v>
      </c>
      <c r="H8" s="9" t="s">
        <v>21</v>
      </c>
      <c r="I8" s="3">
        <v>97.51</v>
      </c>
    </row>
    <row r="9" spans="1:11" x14ac:dyDescent="0.25">
      <c r="A9" s="3" t="s">
        <v>8</v>
      </c>
      <c r="B9" s="3">
        <f>0.75+0.95</f>
        <v>1.7</v>
      </c>
      <c r="C9" s="9">
        <v>4.8899999999999997</v>
      </c>
      <c r="D9" s="9">
        <v>0.81100000000000005</v>
      </c>
      <c r="E9" s="9">
        <v>112</v>
      </c>
      <c r="F9" s="9" t="s">
        <v>21</v>
      </c>
      <c r="G9" s="9" t="s">
        <v>21</v>
      </c>
      <c r="H9" s="9" t="s">
        <v>21</v>
      </c>
      <c r="I9" s="3">
        <v>432.27</v>
      </c>
    </row>
    <row r="10" spans="1:11" x14ac:dyDescent="0.25">
      <c r="A10" s="4" t="s">
        <v>10</v>
      </c>
      <c r="B10" s="4"/>
      <c r="C10" s="10"/>
      <c r="D10" s="10"/>
      <c r="E10" s="10"/>
      <c r="F10" s="10"/>
      <c r="G10" s="10"/>
      <c r="H10" s="10"/>
      <c r="I10" s="4"/>
      <c r="K10" t="s">
        <v>25</v>
      </c>
    </row>
    <row r="11" spans="1:11" x14ac:dyDescent="0.25">
      <c r="A11" s="4" t="s">
        <v>11</v>
      </c>
      <c r="B11" s="4">
        <v>0.7</v>
      </c>
      <c r="C11" s="10">
        <v>2.6669999999999998</v>
      </c>
      <c r="D11" s="10" t="s">
        <v>21</v>
      </c>
      <c r="E11" s="10" t="s">
        <v>21</v>
      </c>
      <c r="F11" s="10"/>
      <c r="G11" s="10">
        <f>Table2[[#This Row],[CLTDI]]+(78-23)+(38-85)</f>
        <v>36</v>
      </c>
      <c r="H11" s="10">
        <v>28</v>
      </c>
      <c r="I11" s="4">
        <v>67.2</v>
      </c>
      <c r="K11" t="s">
        <v>26</v>
      </c>
    </row>
    <row r="12" spans="1:11" x14ac:dyDescent="0.25">
      <c r="A12" s="4" t="s">
        <v>12</v>
      </c>
      <c r="B12" s="4">
        <v>0.6</v>
      </c>
      <c r="C12" s="10">
        <v>2.6110000000000002</v>
      </c>
      <c r="D12" s="10">
        <v>0.81100000000000005</v>
      </c>
      <c r="E12" s="10">
        <v>30</v>
      </c>
      <c r="F12" s="10" t="s">
        <v>21</v>
      </c>
      <c r="G12" s="10" t="s">
        <v>21</v>
      </c>
      <c r="H12" s="10" t="s">
        <v>21</v>
      </c>
      <c r="I12" s="4">
        <v>47</v>
      </c>
      <c r="K12" t="s">
        <v>24</v>
      </c>
    </row>
    <row r="13" spans="1:11" x14ac:dyDescent="0.25">
      <c r="A13" s="5" t="s">
        <v>13</v>
      </c>
      <c r="B13" s="5"/>
      <c r="C13" s="11"/>
      <c r="D13" s="11"/>
      <c r="E13" s="11"/>
      <c r="F13" s="11"/>
      <c r="G13" s="11"/>
      <c r="H13" s="11"/>
      <c r="I13" s="5"/>
      <c r="K13" t="s">
        <v>24</v>
      </c>
    </row>
    <row r="14" spans="1:11" x14ac:dyDescent="0.25">
      <c r="A14" s="5" t="s">
        <v>14</v>
      </c>
      <c r="B14" s="5">
        <f>0.91+1.42</f>
        <v>2.33</v>
      </c>
      <c r="C14" s="11">
        <v>2.6669999999999998</v>
      </c>
      <c r="D14" s="11" t="s">
        <v>21</v>
      </c>
      <c r="E14" s="11" t="s">
        <v>21</v>
      </c>
      <c r="F14" s="11"/>
      <c r="G14" s="11">
        <f>Table2[[#This Row],[CLTDI]]+(78-23)+(38-85)</f>
        <v>24</v>
      </c>
      <c r="H14" s="11">
        <v>16</v>
      </c>
      <c r="I14" s="5">
        <v>149.13</v>
      </c>
      <c r="K14" s="1"/>
    </row>
    <row r="15" spans="1:11" x14ac:dyDescent="0.25">
      <c r="A15" s="5" t="s">
        <v>17</v>
      </c>
      <c r="B15" s="5">
        <v>1.34</v>
      </c>
      <c r="C15" s="11">
        <v>5.0199999999999996</v>
      </c>
      <c r="D15" s="11">
        <v>0.81100000000000005</v>
      </c>
      <c r="E15" s="11">
        <v>33</v>
      </c>
      <c r="F15" s="11" t="s">
        <v>21</v>
      </c>
      <c r="G15" s="11" t="s">
        <v>21</v>
      </c>
      <c r="H15" s="11" t="s">
        <v>21</v>
      </c>
      <c r="I15" s="5">
        <v>222</v>
      </c>
      <c r="K15" s="15" t="s">
        <v>33</v>
      </c>
    </row>
    <row r="16" spans="1:11" x14ac:dyDescent="0.25">
      <c r="A16" s="6" t="s">
        <v>0</v>
      </c>
      <c r="B16" s="6"/>
      <c r="C16" s="7"/>
      <c r="D16" s="7"/>
      <c r="E16" s="7"/>
      <c r="F16" s="7"/>
      <c r="G16" s="7"/>
      <c r="H16" s="7"/>
      <c r="I16" s="6"/>
    </row>
    <row r="17" spans="1:13" x14ac:dyDescent="0.25">
      <c r="A17" s="6" t="s">
        <v>15</v>
      </c>
      <c r="B17" s="6">
        <v>2</v>
      </c>
      <c r="C17" s="7">
        <v>0.53200000000000003</v>
      </c>
      <c r="D17" s="7" t="s">
        <v>21</v>
      </c>
      <c r="E17" s="7" t="s">
        <v>21</v>
      </c>
      <c r="F17" s="7"/>
      <c r="G17" s="7">
        <f>Table2[[#This Row],[CLTDI]]+(78-23)+(38-85)</f>
        <v>98</v>
      </c>
      <c r="H17" s="7">
        <v>90</v>
      </c>
      <c r="I17" s="6">
        <v>104.27</v>
      </c>
    </row>
    <row r="18" spans="1:13" x14ac:dyDescent="0.25">
      <c r="A18" s="6" t="s">
        <v>16</v>
      </c>
      <c r="B18" s="6">
        <v>6.38</v>
      </c>
      <c r="C18" s="7">
        <v>2.2669999999999999</v>
      </c>
      <c r="D18" s="7" t="s">
        <v>21</v>
      </c>
      <c r="E18" s="7" t="s">
        <v>21</v>
      </c>
      <c r="F18" s="7"/>
      <c r="G18" s="7">
        <f>Table2[[#This Row],[CLTDI]]+(78-23)+(38-85)</f>
        <v>98</v>
      </c>
      <c r="H18" s="7">
        <v>90</v>
      </c>
      <c r="I18" s="6">
        <v>1417</v>
      </c>
    </row>
    <row r="19" spans="1:13" x14ac:dyDescent="0.25">
      <c r="A19" s="12" t="s">
        <v>31</v>
      </c>
      <c r="B19" s="13"/>
      <c r="C19" s="14"/>
      <c r="D19" s="14"/>
      <c r="E19" s="14"/>
      <c r="F19" s="14"/>
      <c r="G19" s="14"/>
      <c r="H19" s="14"/>
      <c r="I19" s="12">
        <f>SUM(I2:I18)</f>
        <v>3335.94</v>
      </c>
    </row>
    <row r="21" spans="1:13" x14ac:dyDescent="0.25">
      <c r="A21" t="s">
        <v>45</v>
      </c>
    </row>
    <row r="23" spans="1:13" x14ac:dyDescent="0.25">
      <c r="A23" t="s">
        <v>34</v>
      </c>
      <c r="E23" t="s">
        <v>39</v>
      </c>
      <c r="I23" t="s">
        <v>47</v>
      </c>
      <c r="M23" t="s">
        <v>44</v>
      </c>
    </row>
    <row r="24" spans="1:13" x14ac:dyDescent="0.25">
      <c r="E24" t="s">
        <v>42</v>
      </c>
      <c r="I24" t="s">
        <v>43</v>
      </c>
    </row>
    <row r="25" spans="1:13" x14ac:dyDescent="0.25">
      <c r="A25" t="s">
        <v>35</v>
      </c>
      <c r="D25" t="s">
        <v>37</v>
      </c>
      <c r="E25" t="s">
        <v>40</v>
      </c>
      <c r="I25" t="s">
        <v>41</v>
      </c>
    </row>
    <row r="26" spans="1:13" x14ac:dyDescent="0.25">
      <c r="A26" t="s">
        <v>36</v>
      </c>
    </row>
    <row r="28" spans="1:13" x14ac:dyDescent="0.25">
      <c r="A28" t="s">
        <v>38</v>
      </c>
    </row>
    <row r="31" spans="1:13" x14ac:dyDescent="0.25">
      <c r="A31" t="s">
        <v>46</v>
      </c>
    </row>
    <row r="42" spans="1:1" x14ac:dyDescent="0.25">
      <c r="A42" t="s">
        <v>32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2023-04-10T02:46:54Z</dcterms:created>
  <dcterms:modified xsi:type="dcterms:W3CDTF">2023-04-13T01:58:17Z</dcterms:modified>
</cp:coreProperties>
</file>